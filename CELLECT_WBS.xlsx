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산출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Noto Sans CJK SC"/>
            <family val="2"/>
          </rPr>
          <t xml:space="preserve">작업 기간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일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을 가중치로 한 전체 진행률입니다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<sst xmlns="http://schemas.openxmlformats.org/spreadsheetml/2006/main" count="116" uniqueCount="98">
  <si>
    <r>
      <rPr>
        <b val="true"/>
        <sz val="16"/>
        <color rgb="FF1F3864"/>
        <rFont val="Arial"/>
        <family val="0"/>
        <charset val="1"/>
      </rPr>
      <t xml:space="preserve">CELLECT </t>
    </r>
    <r>
      <rPr>
        <b val="true"/>
        <sz val="16"/>
        <color rgb="FF1F3864"/>
        <rFont val="Noto Sans CJK SC"/>
        <family val="2"/>
      </rPr>
      <t xml:space="preserve">팀 </t>
    </r>
    <r>
      <rPr>
        <b val="true"/>
        <sz val="16"/>
        <color rgb="FF1F3864"/>
        <rFont val="Arial"/>
        <family val="0"/>
        <charset val="1"/>
      </rPr>
      <t xml:space="preserve">WBS — LFP Lot </t>
    </r>
    <r>
      <rPr>
        <b val="true"/>
        <sz val="16"/>
        <color rgb="FF1F3864"/>
        <rFont val="Noto Sans CJK SC"/>
        <family val="2"/>
      </rPr>
      <t xml:space="preserve">평가 리드타임 단축</t>
    </r>
  </si>
  <si>
    <r>
      <rPr>
        <sz val="10"/>
        <color rgb="FF595959"/>
        <rFont val="Noto Sans CJK SC"/>
        <family val="2"/>
      </rPr>
      <t xml:space="preserve">초기 충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방전 데이터 기반 </t>
    </r>
    <r>
      <rPr>
        <sz val="10"/>
        <color rgb="FF595959"/>
        <rFont val="Arial"/>
        <family val="0"/>
        <charset val="1"/>
      </rPr>
      <t xml:space="preserve">LFP </t>
    </r>
    <r>
      <rPr>
        <sz val="10"/>
        <color rgb="FF595959"/>
        <rFont val="Noto Sans CJK SC"/>
        <family val="2"/>
      </rPr>
      <t xml:space="preserve">양극재 로트 품질 조기 판정 </t>
    </r>
    <r>
      <rPr>
        <sz val="10"/>
        <color rgb="FF595959"/>
        <rFont val="Arial"/>
        <family val="0"/>
        <charset val="1"/>
      </rPr>
      <t xml:space="preserve">AI  |  </t>
    </r>
    <r>
      <rPr>
        <sz val="10"/>
        <color rgb="FF595959"/>
        <rFont val="Noto Sans CJK SC"/>
        <family val="2"/>
      </rPr>
      <t xml:space="preserve">멘토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김용국 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엘앤에프</t>
    </r>
    <r>
      <rPr>
        <sz val="10"/>
        <color rgb="FF595959"/>
        <rFont val="Arial"/>
        <family val="0"/>
        <charset val="1"/>
      </rPr>
      <t xml:space="preserve">)  |  </t>
    </r>
    <r>
      <rPr>
        <sz val="10"/>
        <color rgb="FF595959"/>
        <rFont val="Noto Sans CJK SC"/>
        <family val="2"/>
      </rPr>
      <t xml:space="preserve">기간</t>
    </r>
    <r>
      <rPr>
        <sz val="10"/>
        <color rgb="FF595959"/>
        <rFont val="Arial"/>
        <family val="0"/>
        <charset val="1"/>
      </rPr>
      <t xml:space="preserve">: 2026.10.22 ~ 11.30</t>
    </r>
  </si>
  <si>
    <r>
      <rPr>
        <i val="true"/>
        <sz val="9"/>
        <color rgb="FF595959"/>
        <rFont val="Noto Sans CJK SC"/>
        <family val="2"/>
      </rPr>
      <t xml:space="preserve">작성 방법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노란 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진행률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에 </t>
    </r>
    <r>
      <rPr>
        <i val="true"/>
        <sz val="9"/>
        <color rgb="FF595959"/>
        <rFont val="Arial"/>
        <family val="0"/>
        <charset val="1"/>
      </rPr>
      <t xml:space="preserve">0~100%</t>
    </r>
    <r>
      <rPr>
        <i val="true"/>
        <sz val="9"/>
        <color rgb="FF595959"/>
        <rFont val="Noto Sans CJK SC"/>
        <family val="2"/>
      </rPr>
      <t xml:space="preserve">를 입력하면 상태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단계별 진행률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전체 진행률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간트 차트가 자동으로 바뀝니다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시작일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종료일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담당도 고쳐 쓸 수 있습니다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</si>
  <si>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전체 진행률</t>
  </si>
  <si>
    <r>
      <rPr>
        <b val="true"/>
        <sz val="9"/>
        <color rgb="FF1F3864"/>
        <rFont val="Arial"/>
        <family val="0"/>
        <charset val="1"/>
      </rPr>
      <t xml:space="preserve">10</t>
    </r>
    <r>
      <rPr>
        <b val="true"/>
        <sz val="9"/>
        <color rgb="FF1F3864"/>
        <rFont val="Noto Sans CJK SC"/>
        <family val="2"/>
      </rPr>
      <t xml:space="preserve">월</t>
    </r>
  </si>
  <si>
    <r>
      <rPr>
        <b val="true"/>
        <sz val="9"/>
        <color rgb="FF1F3864"/>
        <rFont val="Arial"/>
        <family val="0"/>
        <charset val="1"/>
      </rPr>
      <t xml:space="preserve">11</t>
    </r>
    <r>
      <rPr>
        <b val="true"/>
        <sz val="9"/>
        <color rgb="FF1F3864"/>
        <rFont val="Noto Sans CJK SC"/>
        <family val="2"/>
      </rPr>
      <t xml:space="preserve">월</t>
    </r>
  </si>
  <si>
    <t xml:space="preserve">WBS</t>
  </si>
  <si>
    <r>
      <rPr>
        <b val="true"/>
        <sz val="11"/>
        <color rgb="FFFFFFFF"/>
        <rFont val="Noto Sans CJK SC"/>
        <family val="2"/>
      </rPr>
      <t xml:space="preserve">단계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작업</t>
    </r>
  </si>
  <si>
    <t xml:space="preserve">산출물</t>
  </si>
  <si>
    <t xml:space="preserve">담당</t>
  </si>
  <si>
    <t xml:space="preserve">시작일</t>
  </si>
  <si>
    <t xml:space="preserve">종료일</t>
  </si>
  <si>
    <r>
      <rPr>
        <b val="true"/>
        <sz val="11"/>
        <color rgb="FFFFFFFF"/>
        <rFont val="Noto Sans CJK SC"/>
        <family val="2"/>
      </rPr>
      <t xml:space="preserve">기간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</si>
  <si>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진행률</t>
  </si>
  <si>
    <t xml:space="preserve">상태</t>
  </si>
  <si>
    <t xml:space="preserve">비고</t>
  </si>
  <si>
    <t xml:space="preserve">1</t>
  </si>
  <si>
    <r>
      <rPr>
        <b val="true"/>
        <sz val="10"/>
        <color rgb="FF1F3864"/>
        <rFont val="Noto Sans CJK SC"/>
        <family val="2"/>
      </rPr>
      <t xml:space="preserve">기획</t>
    </r>
    <r>
      <rPr>
        <b val="true"/>
        <sz val="10"/>
        <color rgb="FF1F3864"/>
        <rFont val="Arial"/>
        <family val="0"/>
        <charset val="1"/>
      </rPr>
      <t xml:space="preserve">·</t>
    </r>
    <r>
      <rPr>
        <b val="true"/>
        <sz val="10"/>
        <color rgb="FF1F3864"/>
        <rFont val="Noto Sans CJK SC"/>
        <family val="2"/>
      </rPr>
      <t xml:space="preserve">준비</t>
    </r>
  </si>
  <si>
    <t xml:space="preserve">1.1</t>
  </si>
  <si>
    <r>
      <rPr>
        <sz val="10"/>
        <color rgb="FF000000"/>
        <rFont val="Noto Sans CJK SC"/>
        <family val="2"/>
      </rPr>
      <t xml:space="preserve">   주제 선정 및 계획서 작성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제출</t>
    </r>
  </si>
  <si>
    <t xml:space="preserve">계획서</t>
  </si>
  <si>
    <t xml:space="preserve">조세현</t>
  </si>
  <si>
    <t xml:space="preserve">1.2</t>
  </si>
  <si>
    <r>
      <rPr>
        <sz val="10"/>
        <color rgb="FF000000"/>
        <rFont val="Noto Sans CJK SC"/>
        <family val="2"/>
      </rPr>
      <t xml:space="preserve">   현직자 멘토링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김용국 멘토님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</si>
  <si>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멘토링 질문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피드백 정리</t>
    </r>
  </si>
  <si>
    <t xml:space="preserve">전원</t>
  </si>
  <si>
    <r>
      <rPr>
        <sz val="10"/>
        <color rgb="FF000000"/>
        <rFont val="Arial"/>
        <family val="0"/>
        <charset val="1"/>
      </rPr>
      <t xml:space="preserve">10/31(</t>
    </r>
    <r>
      <rPr>
        <sz val="10"/>
        <color rgb="FF000000"/>
        <rFont val="Noto Sans CJK SC"/>
        <family val="2"/>
      </rPr>
      <t xml:space="preserve">토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멘토링</t>
    </r>
  </si>
  <si>
    <t xml:space="preserve">2</t>
  </si>
  <si>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차 목표 </t>
    </r>
    <r>
      <rPr>
        <b val="true"/>
        <sz val="10"/>
        <color rgb="FF1F3864"/>
        <rFont val="Arial"/>
        <family val="0"/>
        <charset val="1"/>
      </rPr>
      <t xml:space="preserve">(~10/30)</t>
    </r>
  </si>
  <si>
    <t xml:space="preserve">2.1</t>
  </si>
  <si>
    <r>
      <rPr>
        <sz val="10"/>
        <color rgb="FF000000"/>
        <rFont val="Noto Sans CJK SC"/>
        <family val="2"/>
      </rPr>
      <t xml:space="preserve">   오픈소스 </t>
    </r>
    <r>
      <rPr>
        <sz val="10"/>
        <color rgb="FF000000"/>
        <rFont val="Arial"/>
        <family val="0"/>
        <charset val="1"/>
      </rPr>
      <t xml:space="preserve">PyBaMM </t>
    </r>
    <r>
      <rPr>
        <sz val="10"/>
        <color rgb="FF000000"/>
        <rFont val="Noto Sans CJK SC"/>
        <family val="2"/>
      </rPr>
      <t xml:space="preserve">시뮬레이션으로 </t>
    </r>
    <r>
      <rPr>
        <sz val="10"/>
        <color rgb="FF000000"/>
        <rFont val="Arial"/>
        <family val="0"/>
        <charset val="1"/>
      </rPr>
      <t xml:space="preserve">LFP </t>
    </r>
    <r>
      <rPr>
        <sz val="10"/>
        <color rgb="FF000000"/>
        <rFont val="Noto Sans CJK SC"/>
        <family val="2"/>
      </rPr>
      <t xml:space="preserve">데이터 생성</t>
    </r>
  </si>
  <si>
    <r>
      <rPr>
        <sz val="10"/>
        <color rgb="FF000000"/>
        <rFont val="Noto Sans CJK SC"/>
        <family val="2"/>
      </rPr>
      <t xml:space="preserve">가상 로트 데이터</t>
    </r>
    <r>
      <rPr>
        <sz val="10"/>
        <color rgb="FF000000"/>
        <rFont val="Arial"/>
        <family val="0"/>
        <charset val="1"/>
      </rPr>
      <t xml:space="preserve">(CSV)</t>
    </r>
  </si>
  <si>
    <t xml:space="preserve">이혜민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</si>
  <si>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마감 </t>
    </r>
    <r>
      <rPr>
        <sz val="10"/>
        <color rgb="FF000000"/>
        <rFont val="Arial"/>
        <family val="0"/>
        <charset val="1"/>
      </rPr>
      <t xml:space="preserve">10/30</t>
    </r>
  </si>
  <si>
    <t xml:space="preserve">2.2</t>
  </si>
  <si>
    <t xml:space="preserve">   현장 적용에 필요한 데이터 요건 정리</t>
  </si>
  <si>
    <t xml:space="preserve">데이터 요건 정리본</t>
  </si>
  <si>
    <t xml:space="preserve">3</t>
  </si>
  <si>
    <r>
      <rPr>
        <b val="true"/>
        <sz val="10"/>
        <color rgb="FF1F3864"/>
        <rFont val="Arial"/>
        <family val="0"/>
        <charset val="1"/>
      </rPr>
      <t xml:space="preserve">2</t>
    </r>
    <r>
      <rPr>
        <b val="true"/>
        <sz val="10"/>
        <color rgb="FF1F3864"/>
        <rFont val="Noto Sans CJK SC"/>
        <family val="2"/>
      </rPr>
      <t xml:space="preserve">차 목표 </t>
    </r>
    <r>
      <rPr>
        <b val="true"/>
        <sz val="10"/>
        <color rgb="FF1F3864"/>
        <rFont val="Arial"/>
        <family val="0"/>
        <charset val="1"/>
      </rPr>
      <t xml:space="preserve">(~11/6)</t>
    </r>
  </si>
  <si>
    <t xml:space="preserve">3.1</t>
  </si>
  <si>
    <r>
      <rPr>
        <sz val="10"/>
        <color rgb="FF000000"/>
        <rFont val="Noto Sans CJK SC"/>
        <family val="2"/>
      </rPr>
      <t xml:space="preserve">   데이터 분석 및 데이터 분석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생성</t>
    </r>
  </si>
  <si>
    <r>
      <rPr>
        <sz val="10"/>
        <color rgb="FF000000"/>
        <rFont val="Noto Sans CJK SC"/>
        <family val="2"/>
      </rPr>
      <t xml:space="preserve">데이터 분석 </t>
    </r>
    <r>
      <rPr>
        <sz val="10"/>
        <color rgb="FF000000"/>
        <rFont val="Arial"/>
        <family val="0"/>
        <charset val="1"/>
      </rPr>
      <t xml:space="preserve">PDF</t>
    </r>
  </si>
  <si>
    <t xml:space="preserve">3.2</t>
  </si>
  <si>
    <r>
      <rPr>
        <sz val="10"/>
        <color rgb="FF000000"/>
        <rFont val="Noto Sans CJK SC"/>
        <family val="2"/>
      </rPr>
      <t xml:space="preserve">   초반 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번째 사이클 기반 기준수명 이상 합불 판별 모델 개발</t>
    </r>
  </si>
  <si>
    <t xml:space="preserve">판별 모델 코드</t>
  </si>
  <si>
    <t xml:space="preserve">손현호</t>
  </si>
  <si>
    <r>
      <rPr>
        <sz val="10"/>
        <color rgb="FF000000"/>
        <rFont val="Noto Sans CJK SC"/>
        <family val="2"/>
      </rPr>
      <t xml:space="preserve">판정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합격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불합격 의심 표시</t>
    </r>
    <r>
      <rPr>
        <sz val="10"/>
        <color rgb="FF000000"/>
        <rFont val="Arial"/>
        <family val="0"/>
        <charset val="1"/>
      </rPr>
      <t xml:space="preserve">)</t>
    </r>
  </si>
  <si>
    <t xml:space="preserve">3.3</t>
  </si>
  <si>
    <r>
      <rPr>
        <sz val="10"/>
        <color rgb="FF000000"/>
        <rFont val="Noto Sans CJK SC"/>
        <family val="2"/>
      </rPr>
      <t xml:space="preserve">   평가 기간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비용 절감 및 공급 여력 효과 정량화 자료 생성</t>
    </r>
  </si>
  <si>
    <t xml:space="preserve">정량화 자료</t>
  </si>
  <si>
    <t xml:space="preserve">이도홍</t>
  </si>
  <si>
    <t xml:space="preserve">4</t>
  </si>
  <si>
    <r>
      <rPr>
        <b val="true"/>
        <sz val="10"/>
        <color rgb="FF1F3864"/>
        <rFont val="Arial"/>
        <family val="0"/>
        <charset val="1"/>
      </rPr>
      <t xml:space="preserve">3</t>
    </r>
    <r>
      <rPr>
        <b val="true"/>
        <sz val="10"/>
        <color rgb="FF1F3864"/>
        <rFont val="Noto Sans CJK SC"/>
        <family val="2"/>
      </rPr>
      <t xml:space="preserve">차 목표 </t>
    </r>
    <r>
      <rPr>
        <b val="true"/>
        <sz val="10"/>
        <color rgb="FF1F3864"/>
        <rFont val="Arial"/>
        <family val="0"/>
        <charset val="1"/>
      </rPr>
      <t xml:space="preserve">(~11/13)</t>
    </r>
  </si>
  <si>
    <t xml:space="preserve">4.1</t>
  </si>
  <si>
    <r>
      <rPr>
        <sz val="10"/>
        <color rgb="FF000000"/>
        <rFont val="Noto Sans CJK SC"/>
        <family val="2"/>
      </rPr>
      <t xml:space="preserve">   개발 모델에 대한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생성</t>
    </r>
  </si>
  <si>
    <r>
      <rPr>
        <sz val="10"/>
        <color rgb="FF000000"/>
        <rFont val="Noto Sans CJK SC"/>
        <family val="2"/>
      </rPr>
      <t xml:space="preserve">개발 모델 </t>
    </r>
    <r>
      <rPr>
        <sz val="10"/>
        <color rgb="FF000000"/>
        <rFont val="Arial"/>
        <family val="0"/>
        <charset val="1"/>
      </rPr>
      <t xml:space="preserve">PDF</t>
    </r>
  </si>
  <si>
    <t xml:space="preserve">4.2</t>
  </si>
  <si>
    <r>
      <rPr>
        <sz val="10"/>
        <color rgb="FF000000"/>
        <rFont val="Arial"/>
        <family val="0"/>
        <charset val="1"/>
      </rPr>
      <t xml:space="preserve">   Streamlit </t>
    </r>
    <r>
      <rPr>
        <sz val="10"/>
        <color rgb="FF000000"/>
        <rFont val="Noto Sans CJK SC"/>
        <family val="2"/>
      </rPr>
      <t xml:space="preserve">로트 판정 대시보드 생성 및 구현</t>
    </r>
  </si>
  <si>
    <t xml:space="preserve">대시보드</t>
  </si>
  <si>
    <t xml:space="preserve">김정민</t>
  </si>
  <si>
    <t xml:space="preserve">5</t>
  </si>
  <si>
    <r>
      <rPr>
        <b val="true"/>
        <sz val="10"/>
        <color rgb="FF1F3864"/>
        <rFont val="Arial"/>
        <family val="0"/>
        <charset val="1"/>
      </rPr>
      <t xml:space="preserve">4</t>
    </r>
    <r>
      <rPr>
        <b val="true"/>
        <sz val="10"/>
        <color rgb="FF1F3864"/>
        <rFont val="Noto Sans CJK SC"/>
        <family val="2"/>
      </rPr>
      <t xml:space="preserve">차 목표 </t>
    </r>
    <r>
      <rPr>
        <b val="true"/>
        <sz val="10"/>
        <color rgb="FF1F3864"/>
        <rFont val="Arial"/>
        <family val="0"/>
        <charset val="1"/>
      </rPr>
      <t xml:space="preserve">(~11/20)</t>
    </r>
  </si>
  <si>
    <t xml:space="preserve">5.1</t>
  </si>
  <si>
    <r>
      <rPr>
        <sz val="10"/>
        <color rgb="FF000000"/>
        <rFont val="Arial"/>
        <family val="0"/>
        <charset val="1"/>
      </rPr>
      <t xml:space="preserve">   Streamlit </t>
    </r>
    <r>
      <rPr>
        <sz val="10"/>
        <color rgb="FF000000"/>
        <rFont val="Noto Sans CJK SC"/>
        <family val="2"/>
      </rPr>
      <t xml:space="preserve">로트 판정 대시보드 구현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제작</t>
    </r>
  </si>
  <si>
    <r>
      <rPr>
        <sz val="10"/>
        <color rgb="FF000000"/>
        <rFont val="Noto Sans CJK SC"/>
        <family val="2"/>
      </rPr>
      <t xml:space="preserve">대시보드 구현 </t>
    </r>
    <r>
      <rPr>
        <sz val="10"/>
        <color rgb="FF000000"/>
        <rFont val="Arial"/>
        <family val="0"/>
        <charset val="1"/>
      </rPr>
      <t xml:space="preserve">PDF</t>
    </r>
  </si>
  <si>
    <t xml:space="preserve">5.2</t>
  </si>
  <si>
    <r>
      <rPr>
        <sz val="10"/>
        <color rgb="FF000000"/>
        <rFont val="Noto Sans CJK SC"/>
        <family val="2"/>
      </rPr>
      <t xml:space="preserve">   평가 기간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비용 절감 및 공급 여력 효과 발표자료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제작</t>
    </r>
  </si>
  <si>
    <r>
      <rPr>
        <sz val="10"/>
        <color rgb="FF000000"/>
        <rFont val="Noto Sans CJK SC"/>
        <family val="2"/>
      </rPr>
      <t xml:space="preserve">발표자료 </t>
    </r>
    <r>
      <rPr>
        <sz val="10"/>
        <color rgb="FF000000"/>
        <rFont val="Arial"/>
        <family val="0"/>
        <charset val="1"/>
      </rPr>
      <t xml:space="preserve">PDF</t>
    </r>
  </si>
  <si>
    <t xml:space="preserve">5.3</t>
  </si>
  <si>
    <t xml:space="preserve">   초안 전체 검토</t>
  </si>
  <si>
    <t xml:space="preserve">검토 의견</t>
  </si>
  <si>
    <r>
      <rPr>
        <sz val="10"/>
        <color rgb="FF000000"/>
        <rFont val="Noto Sans CJK SC"/>
        <family val="2"/>
      </rPr>
      <t xml:space="preserve">전원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조세현 주관</t>
    </r>
    <r>
      <rPr>
        <sz val="10"/>
        <color rgb="FF000000"/>
        <rFont val="Arial"/>
        <family val="0"/>
        <charset val="1"/>
      </rPr>
      <t xml:space="preserve">)</t>
    </r>
  </si>
  <si>
    <t xml:space="preserve">6</t>
  </si>
  <si>
    <r>
      <rPr>
        <b val="true"/>
        <sz val="10"/>
        <color rgb="FF1F3864"/>
        <rFont val="Noto Sans CJK SC"/>
        <family val="2"/>
      </rPr>
      <t xml:space="preserve">최종 목표 </t>
    </r>
    <r>
      <rPr>
        <b val="true"/>
        <sz val="10"/>
        <color rgb="FF1F3864"/>
        <rFont val="Arial"/>
        <family val="0"/>
        <charset val="1"/>
      </rPr>
      <t xml:space="preserve">(~11/30)</t>
    </r>
  </si>
  <si>
    <t xml:space="preserve">6.1</t>
  </si>
  <si>
    <t xml:space="preserve">   초안 수정 후 최종안 제작</t>
  </si>
  <si>
    <t xml:space="preserve">최종 발표자료</t>
  </si>
  <si>
    <t xml:space="preserve">6.2</t>
  </si>
  <si>
    <r>
      <rPr>
        <sz val="10"/>
        <color rgb="FF000000"/>
        <rFont val="Arial"/>
        <family val="0"/>
        <charset val="1"/>
      </rPr>
      <t xml:space="preserve">   LFP Lot </t>
    </r>
    <r>
      <rPr>
        <sz val="10"/>
        <color rgb="FF000000"/>
        <rFont val="Noto Sans CJK SC"/>
        <family val="2"/>
      </rPr>
      <t xml:space="preserve">평가 리드타임 단축 결과 발표</t>
    </r>
  </si>
  <si>
    <t xml:space="preserve">결과 발표</t>
  </si>
  <si>
    <r>
      <rPr>
        <sz val="10"/>
        <color rgb="FF000000"/>
        <rFont val="Noto Sans CJK SC"/>
        <family val="2"/>
      </rPr>
      <t xml:space="preserve">조세현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발표</t>
    </r>
    <r>
      <rPr>
        <sz val="10"/>
        <color rgb="FF000000"/>
        <rFont val="Arial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전원</t>
    </r>
  </si>
  <si>
    <r>
      <rPr>
        <sz val="10"/>
        <color rgb="FF000000"/>
        <rFont val="Noto Sans CJK SC"/>
        <family val="2"/>
      </rPr>
      <t xml:space="preserve">최종 발표 </t>
    </r>
    <r>
      <rPr>
        <sz val="10"/>
        <color rgb="FF000000"/>
        <rFont val="Arial"/>
        <family val="0"/>
        <charset val="1"/>
      </rPr>
      <t xml:space="preserve">11/30(</t>
    </r>
    <r>
      <rPr>
        <sz val="10"/>
        <color rgb="FF000000"/>
        <rFont val="Noto Sans CJK SC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</t>
    </r>
  </si>
  <si>
    <t xml:space="preserve">범례</t>
  </si>
  <si>
    <r>
      <rPr>
        <sz val="9"/>
        <rFont val="Noto Sans CJK SC"/>
        <family val="2"/>
      </rPr>
      <t xml:space="preserve">완료된 부분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진행률만큼</t>
    </r>
    <r>
      <rPr>
        <sz val="9"/>
        <rFont val="Arial"/>
        <family val="0"/>
        <charset val="1"/>
      </rPr>
      <t xml:space="preserve">)</t>
    </r>
  </si>
  <si>
    <t xml:space="preserve">계획 기간</t>
  </si>
  <si>
    <t xml:space="preserve">단계 전체 기간</t>
  </si>
  <si>
    <r>
      <rPr>
        <sz val="9"/>
        <rFont val="Noto Sans CJK SC"/>
        <family val="2"/>
      </rPr>
      <t xml:space="preserve">하루짜리 일정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멘토링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발표 등</t>
    </r>
    <r>
      <rPr>
        <sz val="9"/>
        <rFont val="Arial"/>
        <family val="0"/>
        <charset val="1"/>
      </rPr>
      <t xml:space="preserve">)</t>
    </r>
  </si>
  <si>
    <t xml:space="preserve">오늘</t>
  </si>
  <si>
    <t xml:space="preserve">주말</t>
  </si>
  <si>
    <t xml:space="preserve">참고</t>
  </si>
  <si>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각 차수의 마감일은 계획서 기준이며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시작일은 직전 마감 다음 월요일로 임의 배정했습니다</t>
    </r>
    <r>
      <rPr>
        <sz val="9"/>
        <color rgb="FF595959"/>
        <rFont val="Arial"/>
        <family val="0"/>
        <charset val="1"/>
      </rPr>
      <t xml:space="preserve">.</t>
    </r>
  </si>
  <si>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담당자는 계획서 업무 분장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데이터 생성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판정 모델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효과 분석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대시보드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을 바탕으로 임의 배정했습니다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팀 협의 후 수정하세요</t>
    </r>
    <r>
      <rPr>
        <sz val="9"/>
        <color rgb="FF595959"/>
        <rFont val="Arial"/>
        <family val="0"/>
        <charset val="1"/>
      </rPr>
      <t xml:space="preserve">.</t>
    </r>
  </si>
  <si>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멘토링 일정</t>
    </r>
    <r>
      <rPr>
        <sz val="9"/>
        <color rgb="FF595959"/>
        <rFont val="Arial"/>
        <family val="0"/>
        <charset val="1"/>
      </rPr>
      <t xml:space="preserve">(10/31)</t>
    </r>
    <r>
      <rPr>
        <sz val="9"/>
        <color rgb="FF595959"/>
        <rFont val="Noto Sans CJK SC"/>
        <family val="2"/>
      </rPr>
      <t xml:space="preserve">은 별도 공지 기준이며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계획서에는 없는 항목입니다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</si>
  <si>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필요 자료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산출물</t>
    </r>
    <r>
      <rPr>
        <b val="true"/>
        <sz val="14"/>
        <color rgb="FF1F3864"/>
        <rFont val="Arial"/>
        <family val="0"/>
        <charset val="1"/>
      </rPr>
      <t xml:space="preserve">) </t>
    </r>
    <r>
      <rPr>
        <b val="true"/>
        <sz val="14"/>
        <color rgb="FF1F3864"/>
        <rFont val="Noto Sans CJK SC"/>
        <family val="2"/>
      </rPr>
      <t xml:space="preserve">목록</t>
    </r>
  </si>
  <si>
    <r>
      <rPr>
        <b val="true"/>
        <sz val="11"/>
        <color rgb="FFFFFFFF"/>
        <rFont val="Noto Sans CJK SC"/>
        <family val="2"/>
      </rPr>
      <t xml:space="preserve">관련 </t>
    </r>
    <r>
      <rPr>
        <b val="true"/>
        <sz val="11"/>
        <color rgb="FFFFFFFF"/>
        <rFont val="Arial"/>
        <family val="0"/>
        <charset val="1"/>
      </rPr>
      <t xml:space="preserve">WBS</t>
    </r>
  </si>
  <si>
    <t xml:space="preserve">마감일</t>
  </si>
  <si>
    <t xml:space="preserve">최종 결과 발표</t>
  </si>
  <si>
    <r>
      <rPr>
        <i val="true"/>
        <sz val="9"/>
        <color rgb="FF595959"/>
        <rFont val="Noto Sans CJK SC"/>
        <family val="2"/>
      </rPr>
      <t xml:space="preserve">담당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마감일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상태는 </t>
    </r>
    <r>
      <rPr>
        <i val="true"/>
        <sz val="9"/>
        <color rgb="FF595959"/>
        <rFont val="Arial"/>
        <family val="0"/>
        <charset val="1"/>
      </rPr>
      <t xml:space="preserve">WBS </t>
    </r>
    <r>
      <rPr>
        <i val="true"/>
        <sz val="9"/>
        <color rgb="FF595959"/>
        <rFont val="Noto Sans CJK SC"/>
        <family val="2"/>
      </rPr>
      <t xml:space="preserve">시트에서 자동으로 가져옵니다</t>
    </r>
    <r>
      <rPr>
        <i val="true"/>
        <sz val="9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</si>
</sst>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"/>
    <numFmt numFmtId="167" formatCode="mm/dd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6"/>
      <color rgb="FF1F3864"/>
      <name val="Noto Sans CJK SC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name val="Noto Sans CJK SC"/>
      <family val="2"/>
    </font>
    <font>
      <b val="true"/>
      <sz val="12"/>
      <color rgb="FF1F3864"/>
      <name val="Arial"/>
      <family val="0"/>
      <charset val="1"/>
    </font>
    <font>
      <sz val="7"/>
      <color rgb="FF808080"/>
      <name val="Noto Sans CJK SC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8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3864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9"/>
      <name val="Noto Sans CJK SC"/>
      <family val="2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sz val="10"/>
      <color rgb="FF008000"/>
      <name val="Noto Sans CJK SC"/>
      <family val="2"/>
    </font>
    <font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2F5597"/>
        <bgColor rgb="FF1F3864"/>
      </patternFill>
    </fill>
    <fill>
      <patternFill patternType="solid">
        <fgColor rgb="FFB4C7E7"/>
        <bgColor rgb="FFBFBFBF"/>
      </patternFill>
    </fill>
    <fill>
      <patternFill patternType="solid">
        <fgColor rgb="FF8EA9DB"/>
        <bgColor rgb="FF969696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/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ED7D31"/>
        </patternFill>
      </fill>
    </dxf>
    <dxf>
      <fill>
        <patternFill>
          <bgColor rgb="FF8EA9DB"/>
        </patternFill>
      </fill>
    </dxf>
    <dxf>
      <fill>
        <patternFill>
          <bgColor rgb="FF2F5597"/>
        </patternFill>
      </fill>
    </dxf>
    <dxf>
      <fill>
        <patternFill>
          <bgColor rgb="FFB4C7E7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D9D9D9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Y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9" min="5" style="0" width="8"/>
    <col collapsed="false" customWidth="true" hidden="false" outlineLevel="0" max="10" min="10" style="0" width="24"/>
    <col collapsed="false" customWidth="true" hidden="false" outlineLevel="0" max="11" min="11" style="0" width="2"/>
    <col collapsed="false" customWidth="true" hidden="false" outlineLevel="0" max="51" min="12" style="0" width="3.2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C4" s="5" t="n">
        <f aca="false">IFERROR(SUMPRODUCT(ISNUMBER(SEARCH(".",$A$7:$A$26))*$G$7:$G$26*$H$7:$H$26)/SUMPRODUCT(ISNUMBER(SEARCH(".",$A$7:$A$26))*$G$7:$G$26),0)</f>
        <v>0.0181818181818182</v>
      </c>
      <c r="L4" s="6" t="str">
        <f aca="false">CHOOSE(WEEKDAY(L6),"일","월","화","수","목","금","토")</f>
        <v>목</v>
      </c>
      <c r="M4" s="6" t="str">
        <f aca="false">CHOOSE(WEEKDAY(M6),"일","월","화","수","목","금","토")</f>
        <v>금</v>
      </c>
      <c r="N4" s="6" t="str">
        <f aca="false">CHOOSE(WEEKDAY(N6),"일","월","화","수","목","금","토")</f>
        <v>토</v>
      </c>
      <c r="O4" s="6" t="str">
        <f aca="false">CHOOSE(WEEKDAY(O6),"일","월","화","수","목","금","토")</f>
        <v>일</v>
      </c>
      <c r="P4" s="6" t="str">
        <f aca="false">CHOOSE(WEEKDAY(P6),"일","월","화","수","목","금","토")</f>
        <v>월</v>
      </c>
      <c r="Q4" s="6" t="str">
        <f aca="false">CHOOSE(WEEKDAY(Q6),"일","월","화","수","목","금","토")</f>
        <v>화</v>
      </c>
      <c r="R4" s="6" t="str">
        <f aca="false">CHOOSE(WEEKDAY(R6),"일","월","화","수","목","금","토")</f>
        <v>수</v>
      </c>
      <c r="S4" s="6" t="str">
        <f aca="false">CHOOSE(WEEKDAY(S6),"일","월","화","수","목","금","토")</f>
        <v>목</v>
      </c>
      <c r="T4" s="6" t="str">
        <f aca="false">CHOOSE(WEEKDAY(T6),"일","월","화","수","목","금","토")</f>
        <v>금</v>
      </c>
      <c r="U4" s="6" t="str">
        <f aca="false">CHOOSE(WEEKDAY(U6),"일","월","화","수","목","금","토")</f>
        <v>토</v>
      </c>
      <c r="V4" s="6" t="str">
        <f aca="false">CHOOSE(WEEKDAY(V6),"일","월","화","수","목","금","토")</f>
        <v>일</v>
      </c>
      <c r="W4" s="6" t="str">
        <f aca="false">CHOOSE(WEEKDAY(W6),"일","월","화","수","목","금","토")</f>
        <v>월</v>
      </c>
      <c r="X4" s="6" t="str">
        <f aca="false">CHOOSE(WEEKDAY(X6),"일","월","화","수","목","금","토")</f>
        <v>화</v>
      </c>
      <c r="Y4" s="6" t="str">
        <f aca="false">CHOOSE(WEEKDAY(Y6),"일","월","화","수","목","금","토")</f>
        <v>수</v>
      </c>
      <c r="Z4" s="6" t="str">
        <f aca="false">CHOOSE(WEEKDAY(Z6),"일","월","화","수","목","금","토")</f>
        <v>목</v>
      </c>
      <c r="AA4" s="6" t="str">
        <f aca="false">CHOOSE(WEEKDAY(AA6),"일","월","화","수","목","금","토")</f>
        <v>금</v>
      </c>
      <c r="AB4" s="6" t="str">
        <f aca="false">CHOOSE(WEEKDAY(AB6),"일","월","화","수","목","금","토")</f>
        <v>토</v>
      </c>
      <c r="AC4" s="6" t="str">
        <f aca="false">CHOOSE(WEEKDAY(AC6),"일","월","화","수","목","금","토")</f>
        <v>일</v>
      </c>
      <c r="AD4" s="6" t="str">
        <f aca="false">CHOOSE(WEEKDAY(AD6),"일","월","화","수","목","금","토")</f>
        <v>월</v>
      </c>
      <c r="AE4" s="6" t="str">
        <f aca="false">CHOOSE(WEEKDAY(AE6),"일","월","화","수","목","금","토")</f>
        <v>화</v>
      </c>
      <c r="AF4" s="6" t="str">
        <f aca="false">CHOOSE(WEEKDAY(AF6),"일","월","화","수","목","금","토")</f>
        <v>수</v>
      </c>
      <c r="AG4" s="6" t="str">
        <f aca="false">CHOOSE(WEEKDAY(AG6),"일","월","화","수","목","금","토")</f>
        <v>목</v>
      </c>
      <c r="AH4" s="6" t="str">
        <f aca="false">CHOOSE(WEEKDAY(AH6),"일","월","화","수","목","금","토")</f>
        <v>금</v>
      </c>
      <c r="AI4" s="6" t="str">
        <f aca="false">CHOOSE(WEEKDAY(AI6),"일","월","화","수","목","금","토")</f>
        <v>토</v>
      </c>
      <c r="AJ4" s="6" t="str">
        <f aca="false">CHOOSE(WEEKDAY(AJ6),"일","월","화","수","목","금","토")</f>
        <v>일</v>
      </c>
      <c r="AK4" s="6" t="str">
        <f aca="false">CHOOSE(WEEKDAY(AK6),"일","월","화","수","목","금","토")</f>
        <v>월</v>
      </c>
      <c r="AL4" s="6" t="str">
        <f aca="false">CHOOSE(WEEKDAY(AL6),"일","월","화","수","목","금","토")</f>
        <v>화</v>
      </c>
      <c r="AM4" s="6" t="str">
        <f aca="false">CHOOSE(WEEKDAY(AM6),"일","월","화","수","목","금","토")</f>
        <v>수</v>
      </c>
      <c r="AN4" s="6" t="str">
        <f aca="false">CHOOSE(WEEKDAY(AN6),"일","월","화","수","목","금","토")</f>
        <v>목</v>
      </c>
      <c r="AO4" s="6" t="str">
        <f aca="false">CHOOSE(WEEKDAY(AO6),"일","월","화","수","목","금","토")</f>
        <v>금</v>
      </c>
      <c r="AP4" s="6" t="str">
        <f aca="false">CHOOSE(WEEKDAY(AP6),"일","월","화","수","목","금","토")</f>
        <v>토</v>
      </c>
      <c r="AQ4" s="6" t="str">
        <f aca="false">CHOOSE(WEEKDAY(AQ6),"일","월","화","수","목","금","토")</f>
        <v>일</v>
      </c>
      <c r="AR4" s="6" t="str">
        <f aca="false">CHOOSE(WEEKDAY(AR6),"일","월","화","수","목","금","토")</f>
        <v>월</v>
      </c>
      <c r="AS4" s="6" t="str">
        <f aca="false">CHOOSE(WEEKDAY(AS6),"일","월","화","수","목","금","토")</f>
        <v>화</v>
      </c>
      <c r="AT4" s="6" t="str">
        <f aca="false">CHOOSE(WEEKDAY(AT6),"일","월","화","수","목","금","토")</f>
        <v>수</v>
      </c>
      <c r="AU4" s="6" t="str">
        <f aca="false">CHOOSE(WEEKDAY(AU6),"일","월","화","수","목","금","토")</f>
        <v>목</v>
      </c>
      <c r="AV4" s="6" t="str">
        <f aca="false">CHOOSE(WEEKDAY(AV6),"일","월","화","수","목","금","토")</f>
        <v>금</v>
      </c>
      <c r="AW4" s="6" t="str">
        <f aca="false">CHOOSE(WEEKDAY(AW6),"일","월","화","수","목","금","토")</f>
        <v>토</v>
      </c>
      <c r="AX4" s="6" t="str">
        <f aca="false">CHOOSE(WEEKDAY(AX6),"일","월","화","수","목","금","토")</f>
        <v>일</v>
      </c>
      <c r="AY4" s="6" t="str">
        <f aca="false">CHOOSE(WEEKDAY(AY6),"일","월","화","수","목","금","토")</f>
        <v>월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L5" s="8" t="s">
        <v>4</v>
      </c>
      <c r="M5" s="8"/>
      <c r="N5" s="8"/>
      <c r="O5" s="8"/>
      <c r="P5" s="8"/>
      <c r="Q5" s="8"/>
      <c r="R5" s="8"/>
      <c r="S5" s="8"/>
      <c r="T5" s="8"/>
      <c r="U5" s="8"/>
      <c r="V5" s="8" t="s">
        <v>5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customFormat="false" ht="19.5" hidden="false" customHeight="true" outlineLevel="0" collapsed="false">
      <c r="A6" s="9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L6" s="11" t="n">
        <v>46317</v>
      </c>
      <c r="M6" s="11" t="n">
        <v>46318</v>
      </c>
      <c r="N6" s="11" t="n">
        <v>46319</v>
      </c>
      <c r="O6" s="11" t="n">
        <v>46320</v>
      </c>
      <c r="P6" s="11" t="n">
        <v>46321</v>
      </c>
      <c r="Q6" s="11" t="n">
        <v>46322</v>
      </c>
      <c r="R6" s="11" t="n">
        <v>46323</v>
      </c>
      <c r="S6" s="11" t="n">
        <v>46324</v>
      </c>
      <c r="T6" s="11" t="n">
        <v>46325</v>
      </c>
      <c r="U6" s="11" t="n">
        <v>46326</v>
      </c>
      <c r="V6" s="11" t="n">
        <v>46327</v>
      </c>
      <c r="W6" s="11" t="n">
        <v>46328</v>
      </c>
      <c r="X6" s="11" t="n">
        <v>46329</v>
      </c>
      <c r="Y6" s="11" t="n">
        <v>46330</v>
      </c>
      <c r="Z6" s="11" t="n">
        <v>46331</v>
      </c>
      <c r="AA6" s="11" t="n">
        <v>46332</v>
      </c>
      <c r="AB6" s="11" t="n">
        <v>46333</v>
      </c>
      <c r="AC6" s="11" t="n">
        <v>46334</v>
      </c>
      <c r="AD6" s="11" t="n">
        <v>46335</v>
      </c>
      <c r="AE6" s="11" t="n">
        <v>46336</v>
      </c>
      <c r="AF6" s="11" t="n">
        <v>46337</v>
      </c>
      <c r="AG6" s="11" t="n">
        <v>46338</v>
      </c>
      <c r="AH6" s="11" t="n">
        <v>46339</v>
      </c>
      <c r="AI6" s="11" t="n">
        <v>46340</v>
      </c>
      <c r="AJ6" s="11" t="n">
        <v>46341</v>
      </c>
      <c r="AK6" s="11" t="n">
        <v>46342</v>
      </c>
      <c r="AL6" s="11" t="n">
        <v>46343</v>
      </c>
      <c r="AM6" s="11" t="n">
        <v>46344</v>
      </c>
      <c r="AN6" s="11" t="n">
        <v>46345</v>
      </c>
      <c r="AO6" s="11" t="n">
        <v>46346</v>
      </c>
      <c r="AP6" s="11" t="n">
        <v>46347</v>
      </c>
      <c r="AQ6" s="11" t="n">
        <v>46348</v>
      </c>
      <c r="AR6" s="11" t="n">
        <v>46349</v>
      </c>
      <c r="AS6" s="11" t="n">
        <v>46350</v>
      </c>
      <c r="AT6" s="11" t="n">
        <v>46351</v>
      </c>
      <c r="AU6" s="11" t="n">
        <v>46352</v>
      </c>
      <c r="AV6" s="11" t="n">
        <v>46353</v>
      </c>
      <c r="AW6" s="11" t="n">
        <v>46354</v>
      </c>
      <c r="AX6" s="11" t="n">
        <v>46355</v>
      </c>
      <c r="AY6" s="11" t="n">
        <v>46356</v>
      </c>
    </row>
    <row r="7" customFormat="false" ht="30" hidden="false" customHeight="true" outlineLevel="0" collapsed="false">
      <c r="A7" s="12" t="s">
        <v>16</v>
      </c>
      <c r="B7" s="13" t="s">
        <v>17</v>
      </c>
      <c r="C7" s="13"/>
      <c r="D7" s="14"/>
      <c r="E7" s="15" t="n">
        <f aca="false">MIN(E8:E9)</f>
        <v>46317</v>
      </c>
      <c r="F7" s="15" t="n">
        <f aca="false">MAX(F8:F9)</f>
        <v>46326</v>
      </c>
      <c r="G7" s="12" t="n">
        <f aca="false">F7-E7+1</f>
        <v>10</v>
      </c>
      <c r="H7" s="16" t="n">
        <f aca="false">IFERROR(SUMPRODUCT(G8:G9,H8:H9)/SUM(G8:G9),0)</f>
        <v>0.5</v>
      </c>
      <c r="I7" s="17" t="str">
        <f aca="true">IF(H7&gt;=1,"완료",IF(H7&gt;0,IF(TODAY()&gt;F7,"지연","진행 중"),IF(TODAY()&gt;F7,"지연","예정")))</f>
        <v>진행 중</v>
      </c>
      <c r="J7" s="14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customFormat="false" ht="30" hidden="false" customHeight="true" outlineLevel="0" collapsed="false">
      <c r="A8" s="19" t="s">
        <v>18</v>
      </c>
      <c r="B8" s="20" t="s">
        <v>19</v>
      </c>
      <c r="C8" s="20" t="s">
        <v>20</v>
      </c>
      <c r="D8" s="21" t="s">
        <v>21</v>
      </c>
      <c r="E8" s="22" t="n">
        <v>46317</v>
      </c>
      <c r="F8" s="22" t="n">
        <v>46317</v>
      </c>
      <c r="G8" s="19" t="n">
        <f aca="false">F8-E8+1</f>
        <v>1</v>
      </c>
      <c r="H8" s="23" t="n">
        <v>1</v>
      </c>
      <c r="I8" s="24" t="str">
        <f aca="true">IF(H8&gt;=1,"완료",IF(H8&gt;0,IF(TODAY()&gt;F8,"지연","진행 중"),IF(TODAY()&gt;F8,"지연","예정")))</f>
        <v>완료</v>
      </c>
      <c r="J8" s="21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customFormat="false" ht="30" hidden="false" customHeight="true" outlineLevel="0" collapsed="false">
      <c r="A9" s="19" t="s">
        <v>22</v>
      </c>
      <c r="B9" s="20" t="s">
        <v>23</v>
      </c>
      <c r="C9" s="20" t="s">
        <v>24</v>
      </c>
      <c r="D9" s="21" t="s">
        <v>25</v>
      </c>
      <c r="E9" s="22" t="n">
        <v>46326</v>
      </c>
      <c r="F9" s="22" t="n">
        <v>46326</v>
      </c>
      <c r="G9" s="19" t="n">
        <f aca="false">F9-E9+1</f>
        <v>1</v>
      </c>
      <c r="H9" s="23" t="n">
        <v>0</v>
      </c>
      <c r="I9" s="24" t="str">
        <f aca="true">IF(H9&gt;=1,"완료",IF(H9&gt;0,IF(TODAY()&gt;F9,"지연","진행 중"),IF(TODAY()&gt;F9,"지연","예정")))</f>
        <v>예정</v>
      </c>
      <c r="J9" s="25" t="s">
        <v>26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customFormat="false" ht="30" hidden="false" customHeight="true" outlineLevel="0" collapsed="false">
      <c r="A10" s="12" t="s">
        <v>27</v>
      </c>
      <c r="B10" s="26" t="s">
        <v>28</v>
      </c>
      <c r="C10" s="26"/>
      <c r="D10" s="14"/>
      <c r="E10" s="15" t="n">
        <f aca="false">MIN(E11:E12)</f>
        <v>46321</v>
      </c>
      <c r="F10" s="15" t="n">
        <f aca="false">MAX(F11:F12)</f>
        <v>46325</v>
      </c>
      <c r="G10" s="12" t="n">
        <f aca="false">F10-E10+1</f>
        <v>5</v>
      </c>
      <c r="H10" s="16" t="n">
        <f aca="false">IFERROR(SUMPRODUCT(G11:G12,H11:H12)/SUM(G11:G12),0)</f>
        <v>0</v>
      </c>
      <c r="I10" s="17" t="str">
        <f aca="true">IF(H10&gt;=1,"완료",IF(H10&gt;0,IF(TODAY()&gt;F10,"지연","진행 중"),IF(TODAY()&gt;F10,"지연","예정")))</f>
        <v>예정</v>
      </c>
      <c r="J10" s="14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customFormat="false" ht="30" hidden="false" customHeight="true" outlineLevel="0" collapsed="false">
      <c r="A11" s="19" t="s">
        <v>29</v>
      </c>
      <c r="B11" s="20" t="s">
        <v>30</v>
      </c>
      <c r="C11" s="20" t="s">
        <v>31</v>
      </c>
      <c r="D11" s="21" t="s">
        <v>32</v>
      </c>
      <c r="E11" s="22" t="n">
        <v>46321</v>
      </c>
      <c r="F11" s="22" t="n">
        <v>46325</v>
      </c>
      <c r="G11" s="19" t="n">
        <f aca="false">F11-E11+1</f>
        <v>5</v>
      </c>
      <c r="H11" s="23" t="n">
        <v>0</v>
      </c>
      <c r="I11" s="24" t="str">
        <f aca="true">IF(H11&gt;=1,"완료",IF(H11&gt;0,IF(TODAY()&gt;F11,"지연","진행 중"),IF(TODAY()&gt;F11,"지연","예정")))</f>
        <v>예정</v>
      </c>
      <c r="J11" s="25" t="s">
        <v>33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customFormat="false" ht="30" hidden="false" customHeight="true" outlineLevel="0" collapsed="false">
      <c r="A12" s="19" t="s">
        <v>34</v>
      </c>
      <c r="B12" s="20" t="s">
        <v>35</v>
      </c>
      <c r="C12" s="20" t="s">
        <v>36</v>
      </c>
      <c r="D12" s="21" t="s">
        <v>21</v>
      </c>
      <c r="E12" s="22" t="n">
        <v>46321</v>
      </c>
      <c r="F12" s="22" t="n">
        <v>46325</v>
      </c>
      <c r="G12" s="19" t="n">
        <f aca="false">F12-E12+1</f>
        <v>5</v>
      </c>
      <c r="H12" s="23" t="n">
        <v>0</v>
      </c>
      <c r="I12" s="24" t="str">
        <f aca="true">IF(H12&gt;=1,"완료",IF(H12&gt;0,IF(TODAY()&gt;F12,"지연","진행 중"),IF(TODAY()&gt;F12,"지연","예정")))</f>
        <v>예정</v>
      </c>
      <c r="J12" s="25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customFormat="false" ht="30" hidden="false" customHeight="true" outlineLevel="0" collapsed="false">
      <c r="A13" s="12" t="s">
        <v>37</v>
      </c>
      <c r="B13" s="26" t="s">
        <v>38</v>
      </c>
      <c r="C13" s="26"/>
      <c r="D13" s="14"/>
      <c r="E13" s="15" t="n">
        <f aca="false">MIN(E14:E16)</f>
        <v>46328</v>
      </c>
      <c r="F13" s="15" t="n">
        <f aca="false">MAX(F14:F16)</f>
        <v>46332</v>
      </c>
      <c r="G13" s="12" t="n">
        <f aca="false">F13-E13+1</f>
        <v>5</v>
      </c>
      <c r="H13" s="16" t="n">
        <f aca="false">IFERROR(SUMPRODUCT(G14:G16,H14:H16)/SUM(G14:G16),0)</f>
        <v>0</v>
      </c>
      <c r="I13" s="17" t="str">
        <f aca="true">IF(H13&gt;=1,"완료",IF(H13&gt;0,IF(TODAY()&gt;F13,"지연","진행 중"),IF(TODAY()&gt;F13,"지연","예정")))</f>
        <v>예정</v>
      </c>
      <c r="J13" s="14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customFormat="false" ht="30" hidden="false" customHeight="true" outlineLevel="0" collapsed="false">
      <c r="A14" s="19" t="s">
        <v>39</v>
      </c>
      <c r="B14" s="20" t="s">
        <v>40</v>
      </c>
      <c r="C14" s="20" t="s">
        <v>41</v>
      </c>
      <c r="D14" s="21" t="s">
        <v>32</v>
      </c>
      <c r="E14" s="22" t="n">
        <v>46328</v>
      </c>
      <c r="F14" s="22" t="n">
        <v>46332</v>
      </c>
      <c r="G14" s="19" t="n">
        <f aca="false">F14-E14+1</f>
        <v>5</v>
      </c>
      <c r="H14" s="23" t="n">
        <v>0</v>
      </c>
      <c r="I14" s="24" t="str">
        <f aca="true">IF(H14&gt;=1,"완료",IF(H14&gt;0,IF(TODAY()&gt;F14,"지연","진행 중"),IF(TODAY()&gt;F14,"지연","예정")))</f>
        <v>예정</v>
      </c>
      <c r="J14" s="25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customFormat="false" ht="30" hidden="false" customHeight="true" outlineLevel="0" collapsed="false">
      <c r="A15" s="19" t="s">
        <v>42</v>
      </c>
      <c r="B15" s="20" t="s">
        <v>43</v>
      </c>
      <c r="C15" s="20" t="s">
        <v>44</v>
      </c>
      <c r="D15" s="21" t="s">
        <v>45</v>
      </c>
      <c r="E15" s="22" t="n">
        <v>46328</v>
      </c>
      <c r="F15" s="22" t="n">
        <v>46332</v>
      </c>
      <c r="G15" s="19" t="n">
        <f aca="false">F15-E15+1</f>
        <v>5</v>
      </c>
      <c r="H15" s="23" t="n">
        <v>0</v>
      </c>
      <c r="I15" s="24" t="str">
        <f aca="true">IF(H15&gt;=1,"완료",IF(H15&gt;0,IF(TODAY()&gt;F15,"지연","진행 중"),IF(TODAY()&gt;F15,"지연","예정")))</f>
        <v>예정</v>
      </c>
      <c r="J15" s="21" t="s">
        <v>46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customFormat="false" ht="30" hidden="false" customHeight="true" outlineLevel="0" collapsed="false">
      <c r="A16" s="19" t="s">
        <v>47</v>
      </c>
      <c r="B16" s="20" t="s">
        <v>48</v>
      </c>
      <c r="C16" s="20" t="s">
        <v>49</v>
      </c>
      <c r="D16" s="21" t="s">
        <v>50</v>
      </c>
      <c r="E16" s="22" t="n">
        <v>46328</v>
      </c>
      <c r="F16" s="22" t="n">
        <v>46332</v>
      </c>
      <c r="G16" s="19" t="n">
        <f aca="false">F16-E16+1</f>
        <v>5</v>
      </c>
      <c r="H16" s="23" t="n">
        <v>0</v>
      </c>
      <c r="I16" s="24" t="str">
        <f aca="true">IF(H16&gt;=1,"완료",IF(H16&gt;0,IF(TODAY()&gt;F16,"지연","진행 중"),IF(TODAY()&gt;F16,"지연","예정")))</f>
        <v>예정</v>
      </c>
      <c r="J16" s="25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customFormat="false" ht="30" hidden="false" customHeight="true" outlineLevel="0" collapsed="false">
      <c r="A17" s="12" t="s">
        <v>51</v>
      </c>
      <c r="B17" s="26" t="s">
        <v>52</v>
      </c>
      <c r="C17" s="26"/>
      <c r="D17" s="14"/>
      <c r="E17" s="15" t="n">
        <f aca="false">MIN(E18:E19)</f>
        <v>46335</v>
      </c>
      <c r="F17" s="15" t="n">
        <f aca="false">MAX(F18:F19)</f>
        <v>46339</v>
      </c>
      <c r="G17" s="12" t="n">
        <f aca="false">F17-E17+1</f>
        <v>5</v>
      </c>
      <c r="H17" s="16" t="n">
        <f aca="false">IFERROR(SUMPRODUCT(G18:G19,H18:H19)/SUM(G18:G19),0)</f>
        <v>0</v>
      </c>
      <c r="I17" s="17" t="str">
        <f aca="true">IF(H17&gt;=1,"완료",IF(H17&gt;0,IF(TODAY()&gt;F17,"지연","진행 중"),IF(TODAY()&gt;F17,"지연","예정")))</f>
        <v>예정</v>
      </c>
      <c r="J17" s="14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customFormat="false" ht="30" hidden="false" customHeight="true" outlineLevel="0" collapsed="false">
      <c r="A18" s="19" t="s">
        <v>53</v>
      </c>
      <c r="B18" s="20" t="s">
        <v>54</v>
      </c>
      <c r="C18" s="20" t="s">
        <v>55</v>
      </c>
      <c r="D18" s="21" t="s">
        <v>45</v>
      </c>
      <c r="E18" s="22" t="n">
        <v>46335</v>
      </c>
      <c r="F18" s="22" t="n">
        <v>46339</v>
      </c>
      <c r="G18" s="19" t="n">
        <f aca="false">F18-E18+1</f>
        <v>5</v>
      </c>
      <c r="H18" s="23" t="n">
        <v>0</v>
      </c>
      <c r="I18" s="24" t="str">
        <f aca="true">IF(H18&gt;=1,"완료",IF(H18&gt;0,IF(TODAY()&gt;F18,"지연","진행 중"),IF(TODAY()&gt;F18,"지연","예정")))</f>
        <v>예정</v>
      </c>
      <c r="J18" s="25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customFormat="false" ht="30" hidden="false" customHeight="true" outlineLevel="0" collapsed="false">
      <c r="A19" s="19" t="s">
        <v>56</v>
      </c>
      <c r="B19" s="27" t="s">
        <v>57</v>
      </c>
      <c r="C19" s="20" t="s">
        <v>58</v>
      </c>
      <c r="D19" s="21" t="s">
        <v>59</v>
      </c>
      <c r="E19" s="22" t="n">
        <v>46335</v>
      </c>
      <c r="F19" s="22" t="n">
        <v>46339</v>
      </c>
      <c r="G19" s="19" t="n">
        <f aca="false">F19-E19+1</f>
        <v>5</v>
      </c>
      <c r="H19" s="23" t="n">
        <v>0</v>
      </c>
      <c r="I19" s="24" t="str">
        <f aca="true">IF(H19&gt;=1,"완료",IF(H19&gt;0,IF(TODAY()&gt;F19,"지연","진행 중"),IF(TODAY()&gt;F19,"지연","예정")))</f>
        <v>예정</v>
      </c>
      <c r="J19" s="25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customFormat="false" ht="30" hidden="false" customHeight="true" outlineLevel="0" collapsed="false">
      <c r="A20" s="12" t="s">
        <v>60</v>
      </c>
      <c r="B20" s="26" t="s">
        <v>61</v>
      </c>
      <c r="C20" s="26"/>
      <c r="D20" s="14"/>
      <c r="E20" s="15" t="n">
        <f aca="false">MIN(E21:E23)</f>
        <v>46342</v>
      </c>
      <c r="F20" s="15" t="n">
        <f aca="false">MAX(F21:F23)</f>
        <v>46346</v>
      </c>
      <c r="G20" s="12" t="n">
        <f aca="false">F20-E20+1</f>
        <v>5</v>
      </c>
      <c r="H20" s="16" t="n">
        <f aca="false">IFERROR(SUMPRODUCT(G21:G23,H21:H23)/SUM(G21:G23),0)</f>
        <v>0</v>
      </c>
      <c r="I20" s="17" t="str">
        <f aca="true">IF(H20&gt;=1,"완료",IF(H20&gt;0,IF(TODAY()&gt;F20,"지연","진행 중"),IF(TODAY()&gt;F20,"지연","예정")))</f>
        <v>예정</v>
      </c>
      <c r="J20" s="14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customFormat="false" ht="30" hidden="false" customHeight="true" outlineLevel="0" collapsed="false">
      <c r="A21" s="19" t="s">
        <v>62</v>
      </c>
      <c r="B21" s="27" t="s">
        <v>63</v>
      </c>
      <c r="C21" s="20" t="s">
        <v>64</v>
      </c>
      <c r="D21" s="21" t="s">
        <v>59</v>
      </c>
      <c r="E21" s="22" t="n">
        <v>46342</v>
      </c>
      <c r="F21" s="22" t="n">
        <v>46346</v>
      </c>
      <c r="G21" s="19" t="n">
        <f aca="false">F21-E21+1</f>
        <v>5</v>
      </c>
      <c r="H21" s="23" t="n">
        <v>0</v>
      </c>
      <c r="I21" s="24" t="str">
        <f aca="true">IF(H21&gt;=1,"완료",IF(H21&gt;0,IF(TODAY()&gt;F21,"지연","진행 중"),IF(TODAY()&gt;F21,"지연","예정")))</f>
        <v>예정</v>
      </c>
      <c r="J21" s="25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customFormat="false" ht="30" hidden="false" customHeight="true" outlineLevel="0" collapsed="false">
      <c r="A22" s="19" t="s">
        <v>65</v>
      </c>
      <c r="B22" s="20" t="s">
        <v>66</v>
      </c>
      <c r="C22" s="20" t="s">
        <v>67</v>
      </c>
      <c r="D22" s="21" t="s">
        <v>50</v>
      </c>
      <c r="E22" s="22" t="n">
        <v>46342</v>
      </c>
      <c r="F22" s="22" t="n">
        <v>46346</v>
      </c>
      <c r="G22" s="19" t="n">
        <f aca="false">F22-E22+1</f>
        <v>5</v>
      </c>
      <c r="H22" s="23" t="n">
        <v>0</v>
      </c>
      <c r="I22" s="24" t="str">
        <f aca="true">IF(H22&gt;=1,"완료",IF(H22&gt;0,IF(TODAY()&gt;F22,"지연","진행 중"),IF(TODAY()&gt;F22,"지연","예정")))</f>
        <v>예정</v>
      </c>
      <c r="J22" s="25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customFormat="false" ht="30" hidden="false" customHeight="true" outlineLevel="0" collapsed="false">
      <c r="A23" s="19" t="s">
        <v>68</v>
      </c>
      <c r="B23" s="20" t="s">
        <v>69</v>
      </c>
      <c r="C23" s="20" t="s">
        <v>70</v>
      </c>
      <c r="D23" s="21" t="s">
        <v>71</v>
      </c>
      <c r="E23" s="22" t="n">
        <v>46345</v>
      </c>
      <c r="F23" s="22" t="n">
        <v>46346</v>
      </c>
      <c r="G23" s="19" t="n">
        <f aca="false">F23-E23+1</f>
        <v>2</v>
      </c>
      <c r="H23" s="23" t="n">
        <v>0</v>
      </c>
      <c r="I23" s="24" t="str">
        <f aca="true">IF(H23&gt;=1,"완료",IF(H23&gt;0,IF(TODAY()&gt;F23,"지연","진행 중"),IF(TODAY()&gt;F23,"지연","예정")))</f>
        <v>예정</v>
      </c>
      <c r="J23" s="25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customFormat="false" ht="30" hidden="false" customHeight="true" outlineLevel="0" collapsed="false">
      <c r="A24" s="12" t="s">
        <v>72</v>
      </c>
      <c r="B24" s="13" t="s">
        <v>73</v>
      </c>
      <c r="C24" s="26"/>
      <c r="D24" s="14"/>
      <c r="E24" s="15" t="n">
        <f aca="false">MIN(E25:E26)</f>
        <v>46349</v>
      </c>
      <c r="F24" s="15" t="n">
        <f aca="false">MAX(F25:F26)</f>
        <v>46356</v>
      </c>
      <c r="G24" s="12" t="n">
        <f aca="false">F24-E24+1</f>
        <v>8</v>
      </c>
      <c r="H24" s="16" t="n">
        <f aca="false">IFERROR(SUMPRODUCT(G25:G26,H25:H26)/SUM(G25:G26),0)</f>
        <v>0</v>
      </c>
      <c r="I24" s="17" t="str">
        <f aca="true">IF(H24&gt;=1,"완료",IF(H24&gt;0,IF(TODAY()&gt;F24,"지연","진행 중"),IF(TODAY()&gt;F24,"지연","예정")))</f>
        <v>예정</v>
      </c>
      <c r="J24" s="14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customFormat="false" ht="30" hidden="false" customHeight="true" outlineLevel="0" collapsed="false">
      <c r="A25" s="19" t="s">
        <v>74</v>
      </c>
      <c r="B25" s="20" t="s">
        <v>75</v>
      </c>
      <c r="C25" s="20" t="s">
        <v>76</v>
      </c>
      <c r="D25" s="21" t="s">
        <v>25</v>
      </c>
      <c r="E25" s="22" t="n">
        <v>46349</v>
      </c>
      <c r="F25" s="22" t="n">
        <v>46353</v>
      </c>
      <c r="G25" s="19" t="n">
        <f aca="false">F25-E25+1</f>
        <v>5</v>
      </c>
      <c r="H25" s="23" t="n">
        <v>0</v>
      </c>
      <c r="I25" s="24" t="str">
        <f aca="true">IF(H25&gt;=1,"완료",IF(H25&gt;0,IF(TODAY()&gt;F25,"지연","진행 중"),IF(TODAY()&gt;F25,"지연","예정")))</f>
        <v>예정</v>
      </c>
      <c r="J25" s="25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customFormat="false" ht="30" hidden="false" customHeight="true" outlineLevel="0" collapsed="false">
      <c r="A26" s="19" t="s">
        <v>77</v>
      </c>
      <c r="B26" s="27" t="s">
        <v>78</v>
      </c>
      <c r="C26" s="20" t="s">
        <v>79</v>
      </c>
      <c r="D26" s="21" t="s">
        <v>80</v>
      </c>
      <c r="E26" s="22" t="n">
        <v>46356</v>
      </c>
      <c r="F26" s="22" t="n">
        <v>46356</v>
      </c>
      <c r="G26" s="19" t="n">
        <f aca="false">F26-E26+1</f>
        <v>1</v>
      </c>
      <c r="H26" s="23" t="n">
        <v>0</v>
      </c>
      <c r="I26" s="24" t="str">
        <f aca="true">IF(H26&gt;=1,"완료",IF(H26&gt;0,IF(TODAY()&gt;F26,"지연","진행 중"),IF(TODAY()&gt;F26,"지연","예정")))</f>
        <v>예정</v>
      </c>
      <c r="J26" s="21" t="s">
        <v>81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8" customFormat="false" ht="15" hidden="false" customHeight="false" outlineLevel="0" collapsed="false">
      <c r="B28" s="4" t="s">
        <v>82</v>
      </c>
    </row>
    <row r="29" customFormat="false" ht="15" hidden="false" customHeight="false" outlineLevel="0" collapsed="false">
      <c r="A29" s="28"/>
      <c r="B29" s="29" t="s">
        <v>83</v>
      </c>
    </row>
    <row r="30" customFormat="false" ht="15" hidden="false" customHeight="false" outlineLevel="0" collapsed="false">
      <c r="A30" s="30"/>
      <c r="B30" s="29" t="s">
        <v>84</v>
      </c>
    </row>
    <row r="31" customFormat="false" ht="15" hidden="false" customHeight="false" outlineLevel="0" collapsed="false">
      <c r="A31" s="31"/>
      <c r="B31" s="29" t="s">
        <v>85</v>
      </c>
    </row>
    <row r="32" customFormat="false" ht="15" hidden="false" customHeight="false" outlineLevel="0" collapsed="false">
      <c r="A32" s="32"/>
      <c r="B32" s="29" t="s">
        <v>86</v>
      </c>
    </row>
    <row r="33" customFormat="false" ht="15" hidden="false" customHeight="false" outlineLevel="0" collapsed="false">
      <c r="A33" s="33"/>
      <c r="B33" s="29" t="s">
        <v>87</v>
      </c>
    </row>
    <row r="34" customFormat="false" ht="15" hidden="false" customHeight="false" outlineLevel="0" collapsed="false">
      <c r="A34" s="34"/>
      <c r="B34" s="29" t="s">
        <v>88</v>
      </c>
    </row>
    <row r="36" customFormat="false" ht="15" hidden="false" customHeight="false" outlineLevel="0" collapsed="false">
      <c r="A36" s="4" t="s">
        <v>89</v>
      </c>
    </row>
    <row r="37" customFormat="false" ht="15" hidden="false" customHeight="false" outlineLevel="0" collapsed="false">
      <c r="A37" s="35" t="s">
        <v>90</v>
      </c>
    </row>
    <row r="38" customFormat="false" ht="15" hidden="false" customHeight="false" outlineLevel="0" collapsed="false">
      <c r="A38" s="35" t="s">
        <v>91</v>
      </c>
    </row>
    <row r="39" customFormat="false" ht="15" hidden="false" customHeight="false" outlineLevel="0" collapsed="false">
      <c r="A39" s="35" t="s">
        <v>92</v>
      </c>
    </row>
  </sheetData>
  <mergeCells count="1">
    <mergeCell ref="A5:J5"/>
  </mergeCells>
  <conditionalFormatting sqref="L7:AY26">
    <cfRule type="expression" priority="2" aboveAverage="0" equalAverage="0" bottom="0" percent="0" rank="0" text="" dxfId="0">
      <formula>AND(L$6=$E7,$E7=$F7)</formula>
    </cfRule>
    <cfRule type="expression" priority="3" aboveAverage="0" equalAverage="0" bottom="0" percent="0" rank="0" text="" dxfId="1">
      <formula>AND(ISNUMBER(SEARCH(".",$A7))=0,L$6&gt;=$E7,L$6&lt;=$F7)</formula>
    </cfRule>
    <cfRule type="expression" priority="4" aboveAverage="0" equalAverage="0" bottom="0" percent="0" rank="0" text="" dxfId="2">
      <formula>AND(L$6&gt;=$E7,L$6&lt;$E7+$G7*$H7)</formula>
    </cfRule>
    <cfRule type="expression" priority="5" aboveAverage="0" equalAverage="0" bottom="0" percent="0" rank="0" text="" dxfId="3">
      <formula>AND(L$6&gt;=$E7,L$6&lt;=$F7)</formula>
    </cfRule>
    <cfRule type="expression" priority="6" aboveAverage="0" equalAverage="0" bottom="0" percent="0" rank="0" text="" dxfId="4">
      <formula>L$6=TODAY()</formula>
    </cfRule>
    <cfRule type="expression" priority="7" aboveAverage="0" equalAverage="0" bottom="0" percent="0" rank="0" text="" dxfId="5">
      <formula>WEEKDAY(L$6,2)&gt;5</formula>
    </cfRule>
  </conditionalFormatting>
  <conditionalFormatting sqref="I7:I26">
    <cfRule type="expression" priority="8" aboveAverage="0" equalAverage="0" bottom="0" percent="0" rank="0" text="" dxfId="6">
      <formula>I7="완료"</formula>
    </cfRule>
    <cfRule type="expression" priority="9" aboveAverage="0" equalAverage="0" bottom="0" percent="0" rank="0" text="" dxfId="7">
      <formula>I7="진행 중"</formula>
    </cfRule>
    <cfRule type="expression" priority="10" aboveAverage="0" equalAverage="0" bottom="0" percent="0" rank="0" text="" dxfId="8">
      <formula>I7="지연"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0"/>
  </cols>
  <sheetData>
    <row r="1" customFormat="false" ht="21.6" hidden="false" customHeight="false" outlineLevel="0" collapsed="false">
      <c r="A1" s="36" t="s">
        <v>93</v>
      </c>
    </row>
    <row r="3" customFormat="false" ht="17.15" hidden="false" customHeight="false" outlineLevel="0" collapsed="false">
      <c r="A3" s="37" t="s">
        <v>8</v>
      </c>
      <c r="B3" s="37" t="s">
        <v>94</v>
      </c>
      <c r="C3" s="37" t="s">
        <v>9</v>
      </c>
      <c r="D3" s="37" t="s">
        <v>95</v>
      </c>
      <c r="E3" s="37" t="s">
        <v>14</v>
      </c>
    </row>
    <row r="4" customFormat="false" ht="15" hidden="false" customHeight="false" outlineLevel="0" collapsed="false">
      <c r="A4" s="38" t="s">
        <v>41</v>
      </c>
      <c r="B4" s="39" t="s">
        <v>39</v>
      </c>
      <c r="C4" s="40" t="str">
        <f aca="false">INDEX(WBS!$D$7:$D$26,MATCH(B4,WBS!$A$7:$A$26,0))</f>
        <v>이혜민</v>
      </c>
      <c r="D4" s="41" t="n">
        <f aca="false">INDEX(WBS!$F$7:$F$26,MATCH(B4,WBS!$A$7:$A$26,0))</f>
        <v>46332</v>
      </c>
      <c r="E4" s="40" t="str">
        <f aca="false">INDEX(WBS!$I$7:$I$26,MATCH(B4,WBS!$A$7:$A$26,0))</f>
        <v>예정</v>
      </c>
    </row>
    <row r="5" customFormat="false" ht="15" hidden="false" customHeight="false" outlineLevel="0" collapsed="false">
      <c r="A5" s="38" t="s">
        <v>55</v>
      </c>
      <c r="B5" s="39" t="s">
        <v>53</v>
      </c>
      <c r="C5" s="40" t="str">
        <f aca="false">INDEX(WBS!$D$7:$D$26,MATCH(B5,WBS!$A$7:$A$26,0))</f>
        <v>손현호</v>
      </c>
      <c r="D5" s="41" t="n">
        <f aca="false">INDEX(WBS!$F$7:$F$26,MATCH(B5,WBS!$A$7:$A$26,0))</f>
        <v>46339</v>
      </c>
      <c r="E5" s="40" t="str">
        <f aca="false">INDEX(WBS!$I$7:$I$26,MATCH(B5,WBS!$A$7:$A$26,0))</f>
        <v>예정</v>
      </c>
    </row>
    <row r="6" customFormat="false" ht="15" hidden="false" customHeight="false" outlineLevel="0" collapsed="false">
      <c r="A6" s="38" t="s">
        <v>64</v>
      </c>
      <c r="B6" s="39" t="s">
        <v>62</v>
      </c>
      <c r="C6" s="40" t="str">
        <f aca="false">INDEX(WBS!$D$7:$D$26,MATCH(B6,WBS!$A$7:$A$26,0))</f>
        <v>김정민</v>
      </c>
      <c r="D6" s="41" t="n">
        <f aca="false">INDEX(WBS!$F$7:$F$26,MATCH(B6,WBS!$A$7:$A$26,0))</f>
        <v>46346</v>
      </c>
      <c r="E6" s="40" t="str">
        <f aca="false">INDEX(WBS!$I$7:$I$26,MATCH(B6,WBS!$A$7:$A$26,0))</f>
        <v>예정</v>
      </c>
    </row>
    <row r="7" customFormat="false" ht="15" hidden="false" customHeight="false" outlineLevel="0" collapsed="false">
      <c r="A7" s="38" t="s">
        <v>67</v>
      </c>
      <c r="B7" s="39" t="s">
        <v>65</v>
      </c>
      <c r="C7" s="40" t="str">
        <f aca="false">INDEX(WBS!$D$7:$D$26,MATCH(B7,WBS!$A$7:$A$26,0))</f>
        <v>이도홍</v>
      </c>
      <c r="D7" s="41" t="n">
        <f aca="false">INDEX(WBS!$F$7:$F$26,MATCH(B7,WBS!$A$7:$A$26,0))</f>
        <v>46346</v>
      </c>
      <c r="E7" s="40" t="str">
        <f aca="false">INDEX(WBS!$I$7:$I$26,MATCH(B7,WBS!$A$7:$A$26,0))</f>
        <v>예정</v>
      </c>
    </row>
    <row r="8" customFormat="false" ht="15" hidden="false" customHeight="false" outlineLevel="0" collapsed="false">
      <c r="A8" s="38" t="s">
        <v>96</v>
      </c>
      <c r="B8" s="39" t="s">
        <v>77</v>
      </c>
      <c r="C8" s="40" t="str">
        <f aca="false">INDEX(WBS!$D$7:$D$26,MATCH(B8,WBS!$A$7:$A$26,0))</f>
        <v>조세현 (발표), 전원</v>
      </c>
      <c r="D8" s="41" t="n">
        <f aca="false">INDEX(WBS!$F$7:$F$26,MATCH(B8,WBS!$A$7:$A$26,0))</f>
        <v>46356</v>
      </c>
      <c r="E8" s="40" t="str">
        <f aca="false">INDEX(WBS!$I$7:$I$26,MATCH(B8,WBS!$A$7:$A$26,0))</f>
        <v>예정</v>
      </c>
    </row>
    <row r="10" customFormat="false" ht="15" hidden="false" customHeight="false" outlineLevel="0" collapsed="false">
      <c r="A10" s="3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2026-10-30T01:22:48Z</dcterms:created>
  <dc:creator>openpyxl</dc:creator>
  <dc:description/>
  <dc:language>en-US</dc:language>
  <cp:lastModifiedBy/>
  <dcterms:modified xsi:type="dcterms:W3CDTF">2026-10-30T01:22:48Z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